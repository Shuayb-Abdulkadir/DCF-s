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8x4\Downloads\"/>
    </mc:Choice>
  </mc:AlternateContent>
  <xr:revisionPtr revIDLastSave="0" documentId="13_ncr:1_{89A69195-4871-4747-BC22-B2C59E2F634A}" xr6:coauthVersionLast="47" xr6:coauthVersionMax="47" xr10:uidLastSave="{00000000-0000-0000-0000-000000000000}"/>
  <bookViews>
    <workbookView xWindow="-108" yWindow="-108" windowWidth="23256" windowHeight="12456" xr2:uid="{606B03C9-7E80-452F-81AB-DFBCD6439F9D}"/>
  </bookViews>
  <sheets>
    <sheet name="Numbers" sheetId="1" r:id="rId1"/>
    <sheet name="D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E8" i="1" s="1"/>
  <c r="E12" i="1" s="1"/>
  <c r="E15" i="1" s="1"/>
  <c r="E17" i="1" s="1"/>
  <c r="C16" i="1"/>
  <c r="D16" i="1"/>
  <c r="B16" i="1"/>
  <c r="C15" i="1"/>
  <c r="D15" i="1"/>
  <c r="B15" i="1"/>
  <c r="C12" i="1"/>
  <c r="D12" i="1"/>
  <c r="B12" i="1"/>
  <c r="D10" i="1"/>
  <c r="C10" i="1"/>
  <c r="C9" i="1"/>
  <c r="D9" i="1"/>
  <c r="B9" i="1"/>
  <c r="F7" i="1" l="1"/>
  <c r="G7" i="1" l="1"/>
  <c r="F8" i="1"/>
  <c r="F12" i="1" s="1"/>
  <c r="F15" i="1" s="1"/>
  <c r="F17" i="1" s="1"/>
  <c r="H7" i="1" l="1"/>
  <c r="G8" i="1"/>
  <c r="G12" i="1" s="1"/>
  <c r="G15" i="1" s="1"/>
  <c r="G17" i="1" s="1"/>
  <c r="I7" i="1" l="1"/>
  <c r="H8" i="1"/>
  <c r="H12" i="1" s="1"/>
  <c r="H15" i="1" s="1"/>
  <c r="H17" i="1" s="1"/>
  <c r="I8" i="1" l="1"/>
  <c r="I12" i="1" s="1"/>
  <c r="I15" i="1" s="1"/>
  <c r="I17" i="1" s="1"/>
  <c r="J7" i="1"/>
  <c r="J8" i="1" s="1"/>
  <c r="J12" i="1" s="1"/>
  <c r="J15" i="1" s="1"/>
  <c r="L8" i="1" s="1"/>
  <c r="I18" i="1" s="1"/>
  <c r="G19" i="1" l="1"/>
  <c r="G22" i="1" s="1"/>
  <c r="G24" i="1" s="1"/>
</calcChain>
</file>

<file path=xl/sharedStrings.xml><?xml version="1.0" encoding="utf-8"?>
<sst xmlns="http://schemas.openxmlformats.org/spreadsheetml/2006/main" count="32" uniqueCount="32">
  <si>
    <t>Visa</t>
  </si>
  <si>
    <t>Ticker: V</t>
  </si>
  <si>
    <t>Revenue</t>
  </si>
  <si>
    <t>Yearly model</t>
  </si>
  <si>
    <t>Years ending september 30th</t>
  </si>
  <si>
    <t>EBIT</t>
  </si>
  <si>
    <t>Operating margin</t>
  </si>
  <si>
    <t>Revenue yoy%</t>
  </si>
  <si>
    <t>Tax rate</t>
  </si>
  <si>
    <t>Nopat</t>
  </si>
  <si>
    <t>Nopat = Ebit * (1-tax rate)</t>
  </si>
  <si>
    <t>Operating cash flow</t>
  </si>
  <si>
    <t>Capex</t>
  </si>
  <si>
    <t>FCF</t>
  </si>
  <si>
    <t>FCF/Nopat</t>
  </si>
  <si>
    <t>Terminal growth rate g: 2.5%</t>
  </si>
  <si>
    <t>Discount rate r = 9.0%</t>
  </si>
  <si>
    <t>Terminal cash</t>
  </si>
  <si>
    <t>Tv = Fcf2031/(r-g)</t>
  </si>
  <si>
    <t xml:space="preserve">Terminal Value= </t>
  </si>
  <si>
    <t>PV:</t>
  </si>
  <si>
    <t>R:</t>
  </si>
  <si>
    <t>Terminal Value end of 2030 so discounted 5 years:</t>
  </si>
  <si>
    <t>Enterprise Value:</t>
  </si>
  <si>
    <t>Cash</t>
  </si>
  <si>
    <t>Debt</t>
  </si>
  <si>
    <t>FROM 9-30-25 10K</t>
  </si>
  <si>
    <t>Equity Value:</t>
  </si>
  <si>
    <t>Shares outstanding:</t>
  </si>
  <si>
    <t>Measured in Millions</t>
  </si>
  <si>
    <t>Future:</t>
  </si>
  <si>
    <t>Equity Value per share: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</si>
</sst>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35">
    <xf numFmtId="0" fontId="0" fillId="0" borderId="0" xfId="0"/>
    <xf numFmtId="3" fontId="0" fillId="0" borderId="0" xfId="0" applyNumberFormat="1"/>
    <xf numFmtId="0" fontId="0" fillId="0" borderId="1" xfId="0" applyBorder="1"/>
    <xf numFmtId="10" fontId="0" fillId="0" borderId="0" xfId="0" applyNumberFormat="1"/>
    <xf numFmtId="0" fontId="0" fillId="0" borderId="3" xfId="0" applyBorder="1"/>
    <xf numFmtId="9" fontId="0" fillId="0" borderId="3" xfId="0" applyNumberFormat="1" applyBorder="1"/>
    <xf numFmtId="9" fontId="0" fillId="0" borderId="0" xfId="0" applyNumberFormat="1"/>
    <xf numFmtId="9" fontId="0" fillId="0" borderId="3" xfId="2" applyFont="1" applyBorder="1"/>
    <xf numFmtId="43" fontId="0" fillId="0" borderId="3" xfId="1" applyFont="1" applyBorder="1"/>
    <xf numFmtId="43" fontId="0" fillId="0" borderId="5" xfId="1" applyFont="1" applyBorder="1"/>
    <xf numFmtId="9" fontId="0" fillId="0" borderId="0" xfId="2" applyFont="1"/>
    <xf numFmtId="2" fontId="0" fillId="0" borderId="0" xfId="0" applyNumberFormat="1"/>
    <xf numFmtId="43" fontId="0" fillId="0" borderId="0" xfId="1" applyFont="1"/>
    <xf numFmtId="164" fontId="0" fillId="0" borderId="0" xfId="0" applyNumberFormat="1"/>
    <xf numFmtId="43" fontId="0" fillId="0" borderId="0" xfId="0" applyNumberFormat="1"/>
    <xf numFmtId="43" fontId="0" fillId="0" borderId="3" xfId="0" applyNumberFormat="1" applyBorder="1"/>
    <xf numFmtId="0" fontId="2" fillId="0" borderId="0" xfId="0" applyFont="1"/>
    <xf numFmtId="43" fontId="1" fillId="3" borderId="3" xfId="4" applyNumberFormat="1" applyBorder="1"/>
    <xf numFmtId="10" fontId="1" fillId="4" borderId="0" xfId="5" applyNumberFormat="1"/>
    <xf numFmtId="0" fontId="3" fillId="0" borderId="0" xfId="0" applyFont="1" applyAlignment="1">
      <alignment horizontal="right"/>
    </xf>
    <xf numFmtId="0" fontId="4" fillId="0" borderId="0" xfId="0" applyFont="1"/>
    <xf numFmtId="0" fontId="1" fillId="4" borderId="0" xfId="5" applyAlignment="1">
      <alignment horizontal="right"/>
    </xf>
    <xf numFmtId="0" fontId="1" fillId="2" borderId="4" xfId="3" applyBorder="1"/>
    <xf numFmtId="0" fontId="1" fillId="2" borderId="1" xfId="3" applyBorder="1"/>
    <xf numFmtId="0" fontId="1" fillId="2" borderId="2" xfId="3" applyBorder="1"/>
    <xf numFmtId="0" fontId="5" fillId="0" borderId="3" xfId="0" applyFont="1" applyBorder="1"/>
    <xf numFmtId="0" fontId="0" fillId="5" borderId="0" xfId="6" applyFont="1"/>
    <xf numFmtId="43" fontId="0" fillId="0" borderId="1" xfId="1" applyFont="1" applyBorder="1"/>
    <xf numFmtId="9" fontId="0" fillId="0" borderId="0" xfId="2" applyFont="1" applyBorder="1"/>
    <xf numFmtId="9" fontId="0" fillId="0" borderId="0" xfId="0" applyNumberFormat="1" applyBorder="1"/>
    <xf numFmtId="0" fontId="0" fillId="0" borderId="0" xfId="0" applyBorder="1"/>
    <xf numFmtId="10" fontId="0" fillId="0" borderId="6" xfId="0" applyNumberFormat="1" applyBorder="1"/>
    <xf numFmtId="9" fontId="0" fillId="0" borderId="6" xfId="2" applyFont="1" applyBorder="1"/>
    <xf numFmtId="43" fontId="0" fillId="0" borderId="2" xfId="1" applyFont="1" applyBorder="1"/>
    <xf numFmtId="43" fontId="0" fillId="0" borderId="6" xfId="1" applyFont="1" applyBorder="1"/>
  </cellXfs>
  <cellStyles count="7">
    <cellStyle name="20% - Accent2" xfId="4" builtinId="34"/>
    <cellStyle name="40% - Accent1" xfId="3" builtinId="31"/>
    <cellStyle name="40% - Accent5" xfId="6" builtinId="47"/>
    <cellStyle name="60% - Accent3" xfId="5" builtinId="40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5676-3938-492A-B07B-820E6A8A5E77}">
  <dimension ref="A1:L34"/>
  <sheetViews>
    <sheetView tabSelected="1" workbookViewId="0">
      <selection activeCell="E22" sqref="E22"/>
    </sheetView>
  </sheetViews>
  <sheetFormatPr defaultRowHeight="14.4" x14ac:dyDescent="0.3"/>
  <cols>
    <col min="1" max="1" width="16.88671875" bestFit="1" customWidth="1"/>
    <col min="2" max="2" width="12.21875" bestFit="1" customWidth="1"/>
    <col min="3" max="3" width="10.77734375" bestFit="1" customWidth="1"/>
    <col min="4" max="4" width="34.109375" bestFit="1" customWidth="1"/>
    <col min="5" max="5" width="11.33203125" bestFit="1" customWidth="1"/>
    <col min="6" max="6" width="29.21875" bestFit="1" customWidth="1"/>
    <col min="7" max="7" width="12.77734375" bestFit="1" customWidth="1"/>
    <col min="8" max="8" width="10.21875" bestFit="1" customWidth="1"/>
    <col min="9" max="9" width="11.21875" bestFit="1" customWidth="1"/>
    <col min="10" max="10" width="12.5546875" bestFit="1" customWidth="1"/>
    <col min="11" max="11" width="15" bestFit="1" customWidth="1"/>
    <col min="12" max="12" width="11.21875" bestFit="1" customWidth="1"/>
  </cols>
  <sheetData>
    <row r="1" spans="1:12" x14ac:dyDescent="0.3">
      <c r="A1" s="16" t="s">
        <v>0</v>
      </c>
      <c r="B1" s="16" t="s">
        <v>26</v>
      </c>
      <c r="C1" s="16"/>
      <c r="D1" s="16" t="s">
        <v>29</v>
      </c>
      <c r="E1" s="16" t="s">
        <v>1</v>
      </c>
    </row>
    <row r="2" spans="1:12" x14ac:dyDescent="0.3">
      <c r="H2" t="s">
        <v>15</v>
      </c>
    </row>
    <row r="3" spans="1:12" x14ac:dyDescent="0.3">
      <c r="A3" t="s">
        <v>10</v>
      </c>
      <c r="D3" t="s">
        <v>3</v>
      </c>
      <c r="E3" s="21" t="s">
        <v>21</v>
      </c>
      <c r="F3" s="18">
        <v>0.09</v>
      </c>
      <c r="H3" t="s">
        <v>16</v>
      </c>
      <c r="K3" t="s">
        <v>18</v>
      </c>
    </row>
    <row r="5" spans="1:12" ht="15.6" x14ac:dyDescent="0.3">
      <c r="D5" t="s">
        <v>4</v>
      </c>
      <c r="E5" s="25" t="s">
        <v>30</v>
      </c>
      <c r="J5" s="16" t="s">
        <v>17</v>
      </c>
    </row>
    <row r="6" spans="1:12" x14ac:dyDescent="0.3">
      <c r="A6" s="2"/>
      <c r="B6" s="2">
        <v>2023</v>
      </c>
      <c r="C6" s="2">
        <v>2024</v>
      </c>
      <c r="D6" s="2">
        <v>2025</v>
      </c>
      <c r="E6" s="22">
        <v>26</v>
      </c>
      <c r="F6" s="23">
        <v>27</v>
      </c>
      <c r="G6" s="23">
        <v>28</v>
      </c>
      <c r="H6" s="23">
        <v>29</v>
      </c>
      <c r="I6" s="23">
        <v>30</v>
      </c>
      <c r="J6" s="24">
        <v>31</v>
      </c>
    </row>
    <row r="7" spans="1:12" x14ac:dyDescent="0.3">
      <c r="A7" t="s">
        <v>2</v>
      </c>
      <c r="B7" s="1">
        <v>32653</v>
      </c>
      <c r="C7" s="1">
        <v>35926</v>
      </c>
      <c r="D7" s="1">
        <v>40000</v>
      </c>
      <c r="E7" s="9">
        <f>D7*(1+E10)</f>
        <v>44800.000000000007</v>
      </c>
      <c r="F7" s="9">
        <f t="shared" ref="F7:I7" si="0">E7*(1+F10)</f>
        <v>50176.000000000015</v>
      </c>
      <c r="G7" s="9">
        <f t="shared" si="0"/>
        <v>55193.60000000002</v>
      </c>
      <c r="H7" s="9">
        <f t="shared" si="0"/>
        <v>60712.960000000028</v>
      </c>
      <c r="I7" s="9">
        <f t="shared" si="0"/>
        <v>65569.996800000037</v>
      </c>
      <c r="J7" s="9">
        <f>I7*(1+J10)</f>
        <v>67209.246720000039</v>
      </c>
      <c r="L7" t="s">
        <v>19</v>
      </c>
    </row>
    <row r="8" spans="1:12" x14ac:dyDescent="0.3">
      <c r="A8" t="s">
        <v>5</v>
      </c>
      <c r="B8" s="1">
        <v>21000</v>
      </c>
      <c r="C8" s="1">
        <v>23595</v>
      </c>
      <c r="D8" s="1">
        <v>23994</v>
      </c>
      <c r="E8" s="8">
        <f>E7*E9</f>
        <v>29120.000000000007</v>
      </c>
      <c r="F8" s="8">
        <f t="shared" ref="F8:J8" si="1">F7*F9</f>
        <v>32614.400000000012</v>
      </c>
      <c r="G8" s="8">
        <f t="shared" si="1"/>
        <v>35875.840000000011</v>
      </c>
      <c r="H8" s="8">
        <f t="shared" si="1"/>
        <v>39463.424000000021</v>
      </c>
      <c r="I8" s="8">
        <f t="shared" si="1"/>
        <v>42620.497920000023</v>
      </c>
      <c r="J8" s="8">
        <f t="shared" si="1"/>
        <v>43686.010368000025</v>
      </c>
      <c r="L8" s="14">
        <f>J15/(0.09-0.025)</f>
        <v>574571.85020928027</v>
      </c>
    </row>
    <row r="9" spans="1:12" x14ac:dyDescent="0.3">
      <c r="A9" t="s">
        <v>6</v>
      </c>
      <c r="B9" s="3">
        <f>B8/B7</f>
        <v>0.64312620586163594</v>
      </c>
      <c r="C9" s="3">
        <f t="shared" ref="C9:D9" si="2">C8/C7</f>
        <v>0.65676668707899566</v>
      </c>
      <c r="D9" s="31">
        <f t="shared" si="2"/>
        <v>0.59984999999999999</v>
      </c>
      <c r="E9" s="28">
        <v>0.65</v>
      </c>
      <c r="F9" s="7">
        <v>0.65</v>
      </c>
      <c r="G9" s="7">
        <v>0.65</v>
      </c>
      <c r="H9" s="7">
        <v>0.65</v>
      </c>
      <c r="I9" s="7">
        <v>0.65</v>
      </c>
      <c r="J9" s="6">
        <v>0.65</v>
      </c>
    </row>
    <row r="10" spans="1:12" x14ac:dyDescent="0.3">
      <c r="A10" t="s">
        <v>7</v>
      </c>
      <c r="B10" s="3"/>
      <c r="C10" s="3">
        <f>(C7-B7)/B7</f>
        <v>0.10023581294214927</v>
      </c>
      <c r="D10" s="31">
        <f>(D7-C7)/C7</f>
        <v>0.11339976618604911</v>
      </c>
      <c r="E10" s="29">
        <v>0.12</v>
      </c>
      <c r="F10" s="6">
        <v>0.12</v>
      </c>
      <c r="G10" s="6">
        <v>0.1</v>
      </c>
      <c r="H10" s="6">
        <v>0.1</v>
      </c>
      <c r="I10" s="6">
        <v>0.08</v>
      </c>
      <c r="J10" s="3">
        <v>2.5000000000000001E-2</v>
      </c>
    </row>
    <row r="11" spans="1:12" x14ac:dyDescent="0.3">
      <c r="A11" t="s">
        <v>8</v>
      </c>
      <c r="B11" s="10">
        <v>0.17</v>
      </c>
      <c r="C11" s="10">
        <v>0.17</v>
      </c>
      <c r="D11" s="32">
        <v>0.17</v>
      </c>
      <c r="E11" s="10">
        <v>0.17</v>
      </c>
      <c r="F11" s="10">
        <v>0.17</v>
      </c>
      <c r="G11" s="10">
        <v>0.17</v>
      </c>
      <c r="H11" s="10">
        <v>0.17</v>
      </c>
      <c r="I11" s="10">
        <v>0.17</v>
      </c>
      <c r="J11" s="10">
        <v>0.17</v>
      </c>
    </row>
    <row r="12" spans="1:12" x14ac:dyDescent="0.3">
      <c r="A12" s="2" t="s">
        <v>9</v>
      </c>
      <c r="B12" s="27">
        <f>B8*(1-B11)</f>
        <v>17430</v>
      </c>
      <c r="C12" s="27">
        <f t="shared" ref="C12:E12" si="3">C8*(1-C11)</f>
        <v>19583.849999999999</v>
      </c>
      <c r="D12" s="33">
        <f t="shared" si="3"/>
        <v>19915.02</v>
      </c>
      <c r="E12" s="27">
        <f t="shared" si="3"/>
        <v>24169.600000000006</v>
      </c>
      <c r="F12" s="27">
        <f t="shared" ref="F12" si="4">F8*(1-F11)</f>
        <v>27069.952000000008</v>
      </c>
      <c r="G12" s="27">
        <f t="shared" ref="G12" si="5">G8*(1-G11)</f>
        <v>29776.947200000006</v>
      </c>
      <c r="H12" s="27">
        <f t="shared" ref="H12" si="6">H8*(1-H11)</f>
        <v>32754.641920000016</v>
      </c>
      <c r="I12" s="27">
        <f t="shared" ref="I12" si="7">I8*(1-I11)</f>
        <v>35375.013273600016</v>
      </c>
      <c r="J12" s="27">
        <f t="shared" ref="J12" si="8">J8*(1-J11)</f>
        <v>36259.388605440021</v>
      </c>
    </row>
    <row r="13" spans="1:12" x14ac:dyDescent="0.3">
      <c r="A13" t="s">
        <v>11</v>
      </c>
      <c r="B13" s="12">
        <v>20755</v>
      </c>
      <c r="C13" s="12">
        <v>19950</v>
      </c>
      <c r="D13" s="34">
        <v>23059</v>
      </c>
      <c r="E13" s="30"/>
    </row>
    <row r="14" spans="1:12" x14ac:dyDescent="0.3">
      <c r="A14" t="s">
        <v>12</v>
      </c>
      <c r="B14" s="12">
        <v>-1059</v>
      </c>
      <c r="C14" s="12">
        <v>-1257</v>
      </c>
      <c r="D14" s="34">
        <v>-1482</v>
      </c>
      <c r="E14" s="30"/>
    </row>
    <row r="15" spans="1:12" x14ac:dyDescent="0.3">
      <c r="A15" t="s">
        <v>13</v>
      </c>
      <c r="B15" s="14">
        <f>B13+B14</f>
        <v>19696</v>
      </c>
      <c r="C15" s="14">
        <f t="shared" ref="C15:D15" si="9">C13+C14</f>
        <v>18693</v>
      </c>
      <c r="D15" s="14">
        <f t="shared" si="9"/>
        <v>21577</v>
      </c>
      <c r="E15" s="17">
        <f>E12*E16</f>
        <v>24894.688000000006</v>
      </c>
      <c r="F15" s="17">
        <f t="shared" ref="F15:J15" si="10">F12*F16</f>
        <v>27882.050560000011</v>
      </c>
      <c r="G15" s="17">
        <f t="shared" si="10"/>
        <v>30670.255616000006</v>
      </c>
      <c r="H15" s="17">
        <f t="shared" si="10"/>
        <v>33737.281177600016</v>
      </c>
      <c r="I15" s="17">
        <f t="shared" si="10"/>
        <v>36436.263671808018</v>
      </c>
      <c r="J15" s="11">
        <f t="shared" si="10"/>
        <v>37347.170263603221</v>
      </c>
    </row>
    <row r="16" spans="1:12" x14ac:dyDescent="0.3">
      <c r="A16" t="s">
        <v>14</v>
      </c>
      <c r="B16" s="10">
        <f>B15/B12</f>
        <v>1.1300057372346528</v>
      </c>
      <c r="C16" s="10">
        <f t="shared" ref="C16:D16" si="11">C15/C12</f>
        <v>0.95451098736969497</v>
      </c>
      <c r="D16" s="10">
        <f t="shared" si="11"/>
        <v>1.0834535943222754</v>
      </c>
      <c r="E16" s="5">
        <v>1.03</v>
      </c>
      <c r="F16" s="5">
        <v>1.03</v>
      </c>
      <c r="G16" s="5">
        <v>1.03</v>
      </c>
      <c r="H16" s="5">
        <v>1.03</v>
      </c>
      <c r="I16" s="5">
        <v>1.03</v>
      </c>
      <c r="J16" s="5">
        <v>1.03</v>
      </c>
    </row>
    <row r="17" spans="4:9" ht="15.6" x14ac:dyDescent="0.3">
      <c r="D17" s="19" t="s">
        <v>20</v>
      </c>
      <c r="E17" s="15">
        <f>E15/(1+F3)</f>
        <v>22839.163302752298</v>
      </c>
      <c r="F17" s="14">
        <f>F15/(1+F3)^2</f>
        <v>23467.764127598693</v>
      </c>
      <c r="G17" s="14">
        <f>G15/(1+F3)^3</f>
        <v>23683.06471592528</v>
      </c>
      <c r="H17" s="14">
        <f>H15/(1+F3)^4</f>
        <v>23900.340539007171</v>
      </c>
      <c r="I17" s="14">
        <f>I15/(1+F3)^5</f>
        <v>23681.071359750222</v>
      </c>
    </row>
    <row r="18" spans="4:9" x14ac:dyDescent="0.3">
      <c r="D18" t="s">
        <v>22</v>
      </c>
      <c r="E18" s="4"/>
      <c r="I18" s="14">
        <f>L8/(1+F3)^5</f>
        <v>373432.27913452272</v>
      </c>
    </row>
    <row r="19" spans="4:9" ht="18" x14ac:dyDescent="0.35">
      <c r="E19" s="4"/>
      <c r="F19" s="20" t="s">
        <v>23</v>
      </c>
      <c r="G19" s="14">
        <f>E17+F17+G17+H17+I17+I18</f>
        <v>491003.68317955639</v>
      </c>
    </row>
    <row r="20" spans="4:9" x14ac:dyDescent="0.3">
      <c r="E20" s="4"/>
      <c r="F20" t="s">
        <v>24</v>
      </c>
      <c r="G20" s="1">
        <v>19996</v>
      </c>
    </row>
    <row r="21" spans="4:9" x14ac:dyDescent="0.3">
      <c r="E21" s="4"/>
      <c r="F21" t="s">
        <v>25</v>
      </c>
      <c r="G21" s="1">
        <v>25171</v>
      </c>
    </row>
    <row r="22" spans="4:9" x14ac:dyDescent="0.3">
      <c r="E22" s="4"/>
      <c r="F22" t="s">
        <v>27</v>
      </c>
      <c r="G22" s="14">
        <f>G19+G20-G21</f>
        <v>485828.68317955639</v>
      </c>
    </row>
    <row r="23" spans="4:9" x14ac:dyDescent="0.3">
      <c r="E23" s="4"/>
      <c r="F23" t="s">
        <v>28</v>
      </c>
      <c r="G23" s="1">
        <v>1950</v>
      </c>
    </row>
    <row r="24" spans="4:9" x14ac:dyDescent="0.3">
      <c r="E24" s="4"/>
      <c r="F24" s="26" t="s">
        <v>31</v>
      </c>
      <c r="G24" s="13">
        <f>G22/G23</f>
        <v>249.14291445105457</v>
      </c>
    </row>
    <row r="25" spans="4:9" x14ac:dyDescent="0.3">
      <c r="E25" s="4"/>
    </row>
    <row r="26" spans="4:9" x14ac:dyDescent="0.3">
      <c r="E26" s="4"/>
    </row>
    <row r="27" spans="4:9" x14ac:dyDescent="0.3">
      <c r="E27" s="4"/>
    </row>
    <row r="28" spans="4:9" x14ac:dyDescent="0.3">
      <c r="E28" s="4"/>
    </row>
    <row r="29" spans="4:9" x14ac:dyDescent="0.3">
      <c r="E29" s="4"/>
    </row>
    <row r="30" spans="4:9" x14ac:dyDescent="0.3">
      <c r="E30" s="4"/>
    </row>
    <row r="31" spans="4:9" x14ac:dyDescent="0.3">
      <c r="E31" s="4"/>
    </row>
    <row r="32" spans="4:9" x14ac:dyDescent="0.3">
      <c r="E32" s="4"/>
    </row>
    <row r="33" spans="5:5" x14ac:dyDescent="0.3">
      <c r="E33" s="4"/>
    </row>
    <row r="34" spans="5:5" x14ac:dyDescent="0.3">
      <c r="E3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415A-A78D-4940-95ED-528CE8D42F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71ca26-d638-4ac5-bcab-93cc983afb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750F127495584B9C6B3C5CB2E6CCEE" ma:contentTypeVersion="6" ma:contentTypeDescription="Create a new document." ma:contentTypeScope="" ma:versionID="c69e548e621242154e3b82314673aaa8">
  <xsd:schema xmlns:xsd="http://www.w3.org/2001/XMLSchema" xmlns:xs="http://www.w3.org/2001/XMLSchema" xmlns:p="http://schemas.microsoft.com/office/2006/metadata/properties" xmlns:ns3="e571ca26-d638-4ac5-bcab-93cc983afb46" targetNamespace="http://schemas.microsoft.com/office/2006/metadata/properties" ma:root="true" ma:fieldsID="a2ffdc321e911732807a09321ae43a55" ns3:_="">
    <xsd:import namespace="e571ca26-d638-4ac5-bcab-93cc983afb4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1ca26-d638-4ac5-bcab-93cc983afb4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23C239-C746-488C-B0E8-35340873F7A0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e571ca26-d638-4ac5-bcab-93cc983afb46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995EB8C-124A-43EA-83E5-E0A14270B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E34E10-5CE5-47F5-BDAE-FC1B8ACF33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71ca26-d638-4ac5-bcab-93cc983afb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Abdulkadir, Shuayb</dc:creator>
  <cp:lastModifiedBy>s h</cp:lastModifiedBy>
  <dcterms:created xsi:type="dcterms:W3CDTF">2026-09-27T18:18:31Z</dcterms:created>
  <dcterms:modified xsi:type="dcterms:W3CDTF">2026-09-29T19:03:17Z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0x01010053750F127495584B9C6B3C5CB2E6CCEE</vt:lpwstr>
  </property>
</Properties>
</file>